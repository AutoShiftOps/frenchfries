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nual Test Cases" sheetId="1" state="visible" r:id="rId3"/>
    <sheet name="Automated Coverage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<sst xmlns="http://schemas.openxmlformats.org/spreadsheetml/2006/main" count="518" uniqueCount="309">
  <si>
    <t xml:space="preserve">ID</t>
  </si>
  <si>
    <t xml:space="preserve">Area</t>
  </si>
  <si>
    <t xml:space="preserve">Test Case</t>
  </si>
  <si>
    <t xml:space="preserve">Preconditions</t>
  </si>
  <si>
    <t xml:space="preserve">Steps</t>
  </si>
  <si>
    <t xml:space="preserve">Expected Result</t>
  </si>
  <si>
    <t xml:space="preserve">Priority</t>
  </si>
  <si>
    <t xml:space="preserve">Status</t>
  </si>
  <si>
    <t xml:space="preserve">Notes</t>
  </si>
  <si>
    <t xml:space="preserve">TC-001</t>
  </si>
  <si>
    <t xml:space="preserve">Auth</t>
  </si>
  <si>
    <t xml:space="preserve">Magic-link sign-in succeeds</t>
  </si>
  <si>
    <t xml:space="preserve">Not signed in; valid email address available</t>
  </si>
  <si>
    <t xml:space="preserve">1. From Landing, click Sign in
2. Enter email, click Send magic link
3. Open the email, click the link</t>
  </si>
  <si>
    <t xml:space="preserve">Link opens the app already signed in; Landing header shows 'Signed in as &lt;email&gt;' instead of the anonymous banner</t>
  </si>
  <si>
    <t xml:space="preserve">High</t>
  </si>
  <si>
    <t xml:space="preserve">Not run</t>
  </si>
  <si>
    <t xml:space="preserve">TC-002</t>
  </si>
  <si>
    <t xml:space="preserve">Sign out returns to anonymous state</t>
  </si>
  <si>
    <t xml:space="preserve">Currently signed in</t>
  </si>
  <si>
    <t xml:space="preserve">1. Click Sign out on Landing</t>
  </si>
  <si>
    <t xml:space="preserve">Header reverts to the anonymous 'Trying it out' banner; previously-saved progress no longer shows as completed</t>
  </si>
  <si>
    <t xml:space="preserve">Medium</t>
  </si>
  <si>
    <t xml:space="preserve">TC-003</t>
  </si>
  <si>
    <t xml:space="preserve">Session persists across page reload</t>
  </si>
  <si>
    <t xml:space="preserve">Signed in</t>
  </si>
  <si>
    <t xml:space="preserve">1. Reload the browser tab</t>
  </si>
  <si>
    <t xml:space="preserve">Still shows 'Signed in as &lt;email&gt;' — no need to sign in again</t>
  </si>
  <si>
    <t xml:space="preserve">TC-004</t>
  </si>
  <si>
    <t xml:space="preserve">Invalid/malformed email is rejected client-side</t>
  </si>
  <si>
    <t xml:space="preserve">Sign-in card open</t>
  </si>
  <si>
    <t xml:space="preserve">1. Type 'notanemail' into the email field
2. Click Send magic link</t>
  </si>
  <si>
    <t xml:space="preserve">Browser's native email validation blocks submission; no request sent</t>
  </si>
  <si>
    <t xml:space="preserve">Low</t>
  </si>
  <si>
    <t xml:space="preserve">TC-005</t>
  </si>
  <si>
    <t xml:space="preserve">RLS: signed-in user cannot see another user's progress</t>
  </si>
  <si>
    <t xml:space="preserve">Two real accounts (A and B) each with saved progress</t>
  </si>
  <si>
    <t xml:space="preserve">1. Sign in as A, note completed phrases
2. Sign out, sign in as B</t>
  </si>
  <si>
    <t xml:space="preserve">B sees only B's own completed phrases/progress row — never A's — confirmed in Supabase Table Editor (frenchfry_progress rows scoped by id/auth.uid())</t>
  </si>
  <si>
    <t xml:space="preserve">TC-006</t>
  </si>
  <si>
    <t xml:space="preserve">Glimpse (anon)</t>
  </si>
  <si>
    <t xml:space="preserve">Anonymous learner can open one chapter per module</t>
  </si>
  <si>
    <t xml:space="preserve">Not signed in; no chapter started yet in this module</t>
  </si>
  <si>
    <t xml:space="preserve">1. Open any module (e.g. Reading)
2. Select any chapter</t>
  </si>
  <si>
    <t xml:space="preserve">Chapter opens normally, no gate shown</t>
  </si>
  <si>
    <t xml:space="preserve">TC-007</t>
  </si>
  <si>
    <t xml:space="preserve">Anonymous learner is blocked from a second chapter in the same module</t>
  </si>
  <si>
    <t xml:space="preserve">Not signed in; one chapter already opened in a module</t>
  </si>
  <si>
    <t xml:space="preserve">1. Go back to chapter list for that module
2. Select a DIFFERENT chapter</t>
  </si>
  <si>
    <t xml:space="preserve">Chapter does not open; a 'You've used your free &lt;Module&gt; chapter' sign-in card appears instead</t>
  </si>
  <si>
    <t xml:space="preserve">TC-008</t>
  </si>
  <si>
    <t xml:space="preserve">Glimpse gate does not affect other modules</t>
  </si>
  <si>
    <t xml:space="preserve">Not signed in; one chapter started in Reading</t>
  </si>
  <si>
    <t xml:space="preserve">1. Open Listening
2. Select any chapter</t>
  </si>
  <si>
    <t xml:space="preserve">Listening chapter opens normally (gate is per-module, not global)</t>
  </si>
  <si>
    <t xml:space="preserve">TC-009</t>
  </si>
  <si>
    <t xml:space="preserve">Re-opening the SAME already-started chapter is never blocked</t>
  </si>
  <si>
    <t xml:space="preserve">Not signed in; one chapter already started in a module</t>
  </si>
  <si>
    <t xml:space="preserve">1. Finish or leave that chapter
2. Re-select the exact same chapter again</t>
  </si>
  <si>
    <t xml:space="preserve">Opens normally — the one-chapter allowance is per specific chapter, not a single attempt</t>
  </si>
  <si>
    <t xml:space="preserve">TC-010</t>
  </si>
  <si>
    <t xml:space="preserve">Signed-in users are never gated</t>
  </si>
  <si>
    <t xml:space="preserve">1. Open and complete one chapter in a module
2. Open a second, different chapter in the same module</t>
  </si>
  <si>
    <t xml:space="preserve">Second chapter opens with no gate — gating only applies to anonymous sessions</t>
  </si>
  <si>
    <t xml:space="preserve">TC-011</t>
  </si>
  <si>
    <t xml:space="preserve">Nudge &amp; migration</t>
  </si>
  <si>
    <t xml:space="preserve">Nudge appears after first scored answer while anonymous</t>
  </si>
  <si>
    <t xml:space="preserve">Not signed in, mid-chapter</t>
  </si>
  <si>
    <t xml:space="preserve">1. Answer/attempt the first item in any module (get any score/result)</t>
  </si>
  <si>
    <t xml:space="preserve">'Nice — want to keep that?' sign-in card appears below the result; dismissible via 'Not now'</t>
  </si>
  <si>
    <t xml:space="preserve">TC-012</t>
  </si>
  <si>
    <t xml:space="preserve">Dismissing the nudge does not block continued practice</t>
  </si>
  <si>
    <t xml:space="preserve">Nudge is showing</t>
  </si>
  <si>
    <t xml:space="preserve">1. Click 'Not now'</t>
  </si>
  <si>
    <t xml:space="preserve">Card disappears; learner can continue to Next item normally</t>
  </si>
  <si>
    <t xml:space="preserve">TC-013</t>
  </si>
  <si>
    <t xml:space="preserve">Anonymous progress merges into account on sign-in</t>
  </si>
  <si>
    <t xml:space="preserve">Anonymous session with at least one completed phrase in one module</t>
  </si>
  <si>
    <t xml:space="preserve">1. Sign in via magic link (same browser/tab)
2. Return to that module's chapter list</t>
  </si>
  <si>
    <t xml:space="preserve">The phrase(s) completed anonymously now show as completed under the signed-in account; Supabase frenchfry_progress row for this user's UUID contains those completed_phrases keys</t>
  </si>
  <si>
    <t xml:space="preserve">TC-014</t>
  </si>
  <si>
    <t xml:space="preserve">Migration does not duplicate or overwrite prior account progress</t>
  </si>
  <si>
    <t xml:space="preserve">Account already has some saved progress from a previous session; new anonymous progress exists in this browser</t>
  </si>
  <si>
    <t xml:space="preserve">1. Sign in</t>
  </si>
  <si>
    <t xml:space="preserve">Resulting completed_phrases is the union of both — nothing from the existing account is lost</t>
  </si>
  <si>
    <t xml:space="preserve">TC-015</t>
  </si>
  <si>
    <t xml:space="preserve">Speaking</t>
  </si>
  <si>
    <t xml:space="preserve">Mic recording produces a real pronunciation score</t>
  </si>
  <si>
    <t xml:space="preserve">Chapter open, mic permission granted</t>
  </si>
  <si>
    <t xml:space="preserve">1. Tap mic, speak the phrase clearly
2. Tap stop</t>
  </si>
  <si>
    <t xml:space="preserve">Camille shows 'thinking' then a readback ('I heard: ...') then a graduated reaction; AccuracyScore/FluencyScore/PronScore are non-zero, non-null numbers</t>
  </si>
  <si>
    <t xml:space="preserve">TC-016</t>
  </si>
  <si>
    <t xml:space="preserve">Weak-word detection matches the spoken feedback</t>
  </si>
  <si>
    <t xml:space="preserve">A phrase scored with at least one word below 70 accuracy</t>
  </si>
  <si>
    <t xml:space="preserve">1. Review Camille's reaction message and ScoreFeedback panel</t>
  </si>
  <si>
    <t xml:space="preserve">The word Camille calls out as weak is actually flagged low-accuracy in ScoreFeedback — no contradiction between the two</t>
  </si>
  <si>
    <t xml:space="preserve">TC-017</t>
  </si>
  <si>
    <t xml:space="preserve">'Hear Camille say it' plays TTS and animates the avatar</t>
  </si>
  <si>
    <t xml:space="preserve">Chapter open</t>
  </si>
  <si>
    <t xml:space="preserve">1. Click 'Hear Camille say it'</t>
  </si>
  <si>
    <t xml:space="preserve">Audio plays the phrase in French; Camille's mouth animates with the audio level, then returns to its prior state when done</t>
  </si>
  <si>
    <t xml:space="preserve">TC-018</t>
  </si>
  <si>
    <t xml:space="preserve">Pronunciation guide shows under the phrase</t>
  </si>
  <si>
    <t xml:space="preserve">1. View any phrase card</t>
  </si>
  <si>
    <t xml:space="preserve">A 'Say it like ...' line appears under the French text and translation, before recording</t>
  </si>
  <si>
    <t xml:space="preserve">TC-019</t>
  </si>
  <si>
    <t xml:space="preserve">Unrecognized/silent audio gives an honest 'couldn't hear' message, not a fake score</t>
  </si>
  <si>
    <t xml:space="preserve">1. Tap mic, stay silent, tap stop</t>
  </si>
  <si>
    <t xml:space="preserve">Camille responds with a 'couldn't quite hear that' style message; no score panel with numbers is shown</t>
  </si>
  <si>
    <t xml:space="preserve">TC-020</t>
  </si>
  <si>
    <t xml:space="preserve">Reading</t>
  </si>
  <si>
    <t xml:space="preserve">Passage + comprehension question flow end-to-end</t>
  </si>
  <si>
    <t xml:space="preserve">Not gated (fresh chapter allowance)</t>
  </si>
  <si>
    <t xml:space="preserve">1. Open Reading, pick a chapter
2. Read passage, answer the MCQ</t>
  </si>
  <si>
    <t xml:space="preserve">Correct option highlights green / wrong option highlights red with the right answer shown; 'Next passage' advances; last item shows 'Finish chapter'</t>
  </si>
  <si>
    <t xml:space="preserve">TC-021</t>
  </si>
  <si>
    <t xml:space="preserve">Pronunciation guide shows under the passage</t>
  </si>
  <si>
    <t xml:space="preserve">Passage open</t>
  </si>
  <si>
    <t xml:space="preserve">1. View any passage</t>
  </si>
  <si>
    <t xml:space="preserve">'Say it like ...' line appears under the French text and English translation</t>
  </si>
  <si>
    <t xml:space="preserve">TC-022</t>
  </si>
  <si>
    <t xml:space="preserve">Progress checkmarks update after finishing a chapter</t>
  </si>
  <si>
    <t xml:space="preserve">Chapter fully completed</t>
  </si>
  <si>
    <t xml:space="preserve">1. Return to chapter list</t>
  </si>
  <si>
    <t xml:space="preserve">That chapter's progress bar/count reflects the completed items</t>
  </si>
  <si>
    <t xml:space="preserve">TC-023</t>
  </si>
  <si>
    <t xml:space="preserve">Listening</t>
  </si>
  <si>
    <t xml:space="preserve">Audio must be played before the question is revealed</t>
  </si>
  <si>
    <t xml:space="preserve">Chapter open, fresh item</t>
  </si>
  <si>
    <t xml:space="preserve">1. Observe the screen before clicking Play</t>
  </si>
  <si>
    <t xml:space="preserve">MCQ options are hidden; only the Play button and a prompt to play are visible</t>
  </si>
  <si>
    <t xml:space="preserve">TC-024</t>
  </si>
  <si>
    <t xml:space="preserve">Play button plays Camille's audio and reveals the question</t>
  </si>
  <si>
    <t xml:space="preserve">1. Click Play
2. Wait for playback to finish</t>
  </si>
  <si>
    <t xml:space="preserve">Camille animates while speaking; once done, the comprehension question and options appear; button now reads 'Play again'</t>
  </si>
  <si>
    <t xml:space="preserve">TC-025</t>
  </si>
  <si>
    <t xml:space="preserve">Pronunciation guide shows after playback, alongside the transcript</t>
  </si>
  <si>
    <t xml:space="preserve">Answer submitted</t>
  </si>
  <si>
    <t xml:space="preserve">1. Pick an option</t>
  </si>
  <si>
    <t xml:space="preserve">Feedback area shows the French transcript, English translation, and 'Say it like ...' pronunciation line</t>
  </si>
  <si>
    <t xml:space="preserve">TC-026</t>
  </si>
  <si>
    <t xml:space="preserve">Writing</t>
  </si>
  <si>
    <t xml:space="preserve">Exact (or near-exact) French answer is marked Correct</t>
  </si>
  <si>
    <t xml:space="preserve">1. Type the expected French answer (with or without accents/punctuation matching 'accepted' variants)
2. Click Check</t>
  </si>
  <si>
    <t xml:space="preserve">'Correct.' feedback shown; Next prompt button appears</t>
  </si>
  <si>
    <t xml:space="preserve">TC-027</t>
  </si>
  <si>
    <t xml:space="preserve">A small typo is marked Close, not Incorrect</t>
  </si>
  <si>
    <t xml:space="preserve">1. Type the expected answer with exactly one character changed
2. Click Check</t>
  </si>
  <si>
    <t xml:space="preserve">'Close — accepted, but check: ...' feedback shown (not a hard Incorrect)</t>
  </si>
  <si>
    <t xml:space="preserve">TC-028</t>
  </si>
  <si>
    <t xml:space="preserve">An unrelated answer is marked Incorrect and allows retry</t>
  </si>
  <si>
    <t xml:space="preserve">1. Type an unrelated sentence
2. Click Check</t>
  </si>
  <si>
    <t xml:space="preserve">'Not quite. Expected something like ...' shown; Check/Show hint stay available (no forced Next)</t>
  </si>
  <si>
    <t xml:space="preserve">TC-029</t>
  </si>
  <si>
    <t xml:space="preserve">Empty submission is rejected without scoring</t>
  </si>
  <si>
    <t xml:space="preserve">1. Leave the textarea empty
2. Click Check</t>
  </si>
  <si>
    <t xml:space="preserve">'Type an answer first.' — Check button is disabled/no attempt is logged</t>
  </si>
  <si>
    <t xml:space="preserve">TC-030</t>
  </si>
  <si>
    <t xml:space="preserve">Pronunciation guide only appears AFTER checking, not before</t>
  </si>
  <si>
    <t xml:space="preserve">Fresh prompt, not yet checked</t>
  </si>
  <si>
    <t xml:space="preserve">1. Observe the screen before clicking Check
2. Click Check</t>
  </si>
  <si>
    <t xml:space="preserve">No pronunciation line before Check; it appears only once a verdict (correct/close/incorrect) is shown</t>
  </si>
  <si>
    <t xml:space="preserve">TC-031</t>
  </si>
  <si>
    <t xml:space="preserve">Pronunciation guide</t>
  </si>
  <si>
    <t xml:space="preserve">Every module shows a plain-English 'Say it like' line, not IPA</t>
  </si>
  <si>
    <t xml:space="preserve">One item open per module</t>
  </si>
  <si>
    <t xml:space="preserve">1. Compare the pronunciation text shown in Speaking, Reading, Listening, Writing</t>
  </si>
  <si>
    <t xml:space="preserve">All four use the same italic 'Say it like' style with readable syllables (e.g. 'bohn-ZHOOR'), no phonetic/IPA symbols</t>
  </si>
  <si>
    <t xml:space="preserve">TC-032</t>
  </si>
  <si>
    <t xml:space="preserve">Progress map</t>
  </si>
  <si>
    <t xml:space="preserve">Ladder shows all six CEFR levels in order with CLB crosswalk</t>
  </si>
  <si>
    <t xml:space="preserve">Landing page loaded</t>
  </si>
  <si>
    <t xml:space="preserve">1. Scroll to 'Your path' section</t>
  </si>
  <si>
    <t xml:space="preserve">A1 through C2 listed top to bottom, each with an '≈ CLB n–n' label</t>
  </si>
  <si>
    <t xml:space="preserve">TC-033</t>
  </si>
  <si>
    <t xml:space="preserve">'You are here' marker sits on the correct current level</t>
  </si>
  <si>
    <t xml:space="preserve">Some A1 progress saved (not 100%)</t>
  </si>
  <si>
    <t xml:space="preserve">1. View the progress map</t>
  </si>
  <si>
    <t xml:space="preserve">A1 is marked current with a 'You are here' tag and per-module progress bars reflecting actual completion; A2–C2 show as locked with no fake percentage</t>
  </si>
  <si>
    <t xml:space="preserve">TC-034</t>
  </si>
  <si>
    <t xml:space="preserve">A1 flips to complete once every module hits 100%</t>
  </si>
  <si>
    <t xml:space="preserve">All Speaking/Reading/Listening/Writing A1 chapters fully completed for this account</t>
  </si>
  <si>
    <t xml:space="preserve">A1 shows a 'complete' status dot (not 'current'); module bars all read 100%</t>
  </si>
  <si>
    <t xml:space="preserve">TC-035</t>
  </si>
  <si>
    <t xml:space="preserve">Goal toggle changes framing copy only, not the ladder itself</t>
  </si>
  <si>
    <t xml:space="preserve">Progress map visible</t>
  </si>
  <si>
    <t xml:space="preserve">1. Click 'Canadian PR track'
2. Click 'Learning for myself'</t>
  </si>
  <si>
    <t xml:space="preserve">Heading text and the CLB7 'Express Entry French bonus threshold' tag on B2 appear only under PR track; the levels/percentages themselves never change</t>
  </si>
  <si>
    <t xml:space="preserve">TC-036</t>
  </si>
  <si>
    <t xml:space="preserve">Disclaimer is always visible under the ladder</t>
  </si>
  <si>
    <t xml:space="preserve">1. Scroll to the bottom of the progress map</t>
  </si>
  <si>
    <t xml:space="preserve">Text stating this is self-study progress, approximate CLB/NCLC crosswalk, not an official assessment, and that real PR French points come from an actual TEF/TCF Canada result</t>
  </si>
  <si>
    <t xml:space="preserve">TC-037</t>
  </si>
  <si>
    <t xml:space="preserve">Visual polish</t>
  </si>
  <si>
    <t xml:space="preserve">Chapter list uses the hairline/numbered-row style consistently</t>
  </si>
  <si>
    <t xml:space="preserve">Any module's chapter list open</t>
  </si>
  <si>
    <t xml:space="preserve">1. View the chapter list</t>
  </si>
  <si>
    <t xml:space="preserve">Rows are numbered (01, 02, ...), separated by thin dividers (no boxed cards), each with a slim per-chapter progress bar in that module's accent color</t>
  </si>
  <si>
    <t xml:space="preserve">TC-038</t>
  </si>
  <si>
    <t xml:space="preserve">Level tabs use the underline style consistently</t>
  </si>
  <si>
    <t xml:space="preserve">1. View the level selector row (A1/A2/B1/B2)</t>
  </si>
  <si>
    <t xml:space="preserve">A1 is underlined in the module's accent color; A2–B2 are visibly disabled with a 'soon' label, no solid-fill buttons</t>
  </si>
  <si>
    <t xml:space="preserve">TC-039</t>
  </si>
  <si>
    <t xml:space="preserve">Regression</t>
  </si>
  <si>
    <t xml:space="preserve">All 4 landing tiles are active (no 'Coming soon')</t>
  </si>
  <si>
    <t xml:space="preserve">Landing page loaded, either signed in or anonymous</t>
  </si>
  <si>
    <t xml:space="preserve">1. View the 4 module tiles</t>
  </si>
  <si>
    <t xml:space="preserve">Reading, Listening, Writing, Speaking are all clickable with real subtitles — none disabled</t>
  </si>
  <si>
    <t xml:space="preserve">TC-040</t>
  </si>
  <si>
    <t xml:space="preserve">Switching between modules and Back navigation works without state leakage</t>
  </si>
  <si>
    <t xml:space="preserve">Any module open mid-chapter</t>
  </si>
  <si>
    <t xml:space="preserve">1. Click Back/Chapters repeatedly across all 4 modules</t>
  </si>
  <si>
    <t xml:space="preserve">Returns to the correct chapter list or Landing each time; no stale phrase/score data bleeds into the next module opened</t>
  </si>
  <si>
    <t xml:space="preserve">TC-041</t>
  </si>
  <si>
    <t xml:space="preserve">App loads with no console errors on a fresh, signed-out session</t>
  </si>
  <si>
    <t xml:space="preserve">Fresh incognito window</t>
  </si>
  <si>
    <t xml:space="preserve">1. Open the app
2. Open browser dev tools console</t>
  </si>
  <si>
    <t xml:space="preserve">No red errors on load (Supabase client init, auth listener, progress load all succeed silently for an anonymous session)</t>
  </si>
  <si>
    <t xml:space="preserve">File</t>
  </si>
  <si>
    <t xml:space="preserve">Test Suite</t>
  </si>
  <si>
    <t xml:space="preserve">Test</t>
  </si>
  <si>
    <t xml:space="preserve">Covers</t>
  </si>
  <si>
    <t xml:space="preserve">Last Run Result</t>
  </si>
  <si>
    <t xml:space="preserve">src/lib/writingScorer.test.js</t>
  </si>
  <si>
    <t xml:space="preserve">normalize</t>
  </si>
  <si>
    <t xml:space="preserve">lowercases, strips accents and punctuation, collapses whitespace</t>
  </si>
  <si>
    <t xml:space="preserve">Writing answer normalization</t>
  </si>
  <si>
    <t xml:space="preserve">Pass</t>
  </si>
  <si>
    <t xml:space="preserve">is idempotent on empty input</t>
  </si>
  <si>
    <t xml:space="preserve">Writing: empty-input handling</t>
  </si>
  <si>
    <t xml:space="preserve">levenshtein</t>
  </si>
  <si>
    <t xml:space="preserve">is 0 for identical strings</t>
  </si>
  <si>
    <t xml:space="preserve">Writing: edit-distance core</t>
  </si>
  <si>
    <t xml:space="preserve">counts a single substitution as 1</t>
  </si>
  <si>
    <t xml:space="preserve">counts insertions and deletions</t>
  </si>
  <si>
    <t xml:space="preserve">scoreAnswer</t>
  </si>
  <si>
    <t xml:space="preserve">marks an exact (post-normalize) match as correct</t>
  </si>
  <si>
    <t xml:space="preserve">Writing: Correct verdict</t>
  </si>
  <si>
    <t xml:space="preserve">marks a small typo as close</t>
  </si>
  <si>
    <t xml:space="preserve">Writing: Close verdict</t>
  </si>
  <si>
    <t xml:space="preserve">marks an unrelated answer as incorrect</t>
  </si>
  <si>
    <t xml:space="preserve">Writing: Incorrect verdict</t>
  </si>
  <si>
    <t xml:space="preserve">marks empty input as empty, not incorrect</t>
  </si>
  <si>
    <t xml:space="preserve">Writing: Empty verdict</t>
  </si>
  <si>
    <t xml:space="preserve">src/lib/progressPath.test.js</t>
  </si>
  <si>
    <t xml:space="preserve">computeModulePct</t>
  </si>
  <si>
    <t xml:space="preserve">is 0 with no progress at all</t>
  </si>
  <si>
    <t xml:space="preserve">Progress map: percentage math</t>
  </si>
  <si>
    <t xml:space="preserve">is 0.5 when half the phrases are completed</t>
  </si>
  <si>
    <t xml:space="preserve">is 1 when every phrase is completed</t>
  </si>
  <si>
    <t xml:space="preserve">ignores another module's completions (namespacing)</t>
  </si>
  <si>
    <t xml:space="preserve">Progress map: per-module isolation</t>
  </si>
  <si>
    <t xml:space="preserve">buildLevelLadder</t>
  </si>
  <si>
    <t xml:space="preserve">includes every CEFR level in order</t>
  </si>
  <si>
    <t xml:space="preserve">Progress map: ladder structure</t>
  </si>
  <si>
    <t xml:space="preserve">marks A1 as current with 0 progress when nothing completed</t>
  </si>
  <si>
    <t xml:space="preserve">Progress map: 'you are here' logic</t>
  </si>
  <si>
    <t xml:space="preserve">marks every level after A1 as locked with null breakdown</t>
  </si>
  <si>
    <t xml:space="preserve">Progress map: locked-level honesty</t>
  </si>
  <si>
    <t xml:space="preserve">marks A1 complete once every module hits 100%</t>
  </si>
  <si>
    <t xml:space="preserve">Progress map: completion transition</t>
  </si>
  <si>
    <t xml:space="preserve">currentLevelId</t>
  </si>
  <si>
    <t xml:space="preserve">returns the level flagged current</t>
  </si>
  <si>
    <t xml:space="preserve">Progress map: current-level lookup</t>
  </si>
  <si>
    <t xml:space="preserve">falls back to the first level if none is current</t>
  </si>
  <si>
    <t xml:space="preserve">Progress map: fallback safety</t>
  </si>
  <si>
    <t xml:space="preserve">src/lib/dataIntegrity.test.js</t>
  </si>
  <si>
    <t xml:space="preserve">speaking/reading/listening/writing chapter data</t>
  </si>
  <si>
    <t xml:space="preserve">has at least one chapter, each with at least one phrase</t>
  </si>
  <si>
    <t xml:space="preserve">Content data integrity (x4 modules)</t>
  </si>
  <si>
    <t xml:space="preserve">has unique chapter ids</t>
  </si>
  <si>
    <t xml:space="preserve">has unique phrase ids within each chapter</t>
  </si>
  <si>
    <t xml:space="preserve">Progress-key collision safety (x4 modules)</t>
  </si>
  <si>
    <t xml:space="preserve">gives every phrase a non-empty pronunciation guide</t>
  </si>
  <si>
    <t xml:space="preserve">Pronunciation guide coverage (x4 modules)</t>
  </si>
  <si>
    <t xml:space="preserve">writing chapter answers</t>
  </si>
  <si>
    <t xml:space="preserve">gives every prompt at least one accepted answer</t>
  </si>
  <si>
    <t xml:space="preserve">Writing content integrity</t>
  </si>
  <si>
    <t xml:space="preserve">reading/listening comprehension questions</t>
  </si>
  <si>
    <t xml:space="preserve">answerIndex always points at a real option</t>
  </si>
  <si>
    <t xml:space="preserve">MCQ content integrity (x2 modules)</t>
  </si>
  <si>
    <t xml:space="preserve">src/lib/supabase.gating.test.js</t>
  </si>
  <si>
    <t xml:space="preserve">canStartChapter</t>
  </si>
  <si>
    <t xml:space="preserve">always allows a signed-in session</t>
  </si>
  <si>
    <t xml:space="preserve">Glimpse gating: signed-in bypass</t>
  </si>
  <si>
    <t xml:space="preserve">allows the first chapter an anonymous learner picks</t>
  </si>
  <si>
    <t xml:space="preserve">Glimpse gating: first chapter allowed</t>
  </si>
  <si>
    <t xml:space="preserve">keeps allowing the same chapter once recorded</t>
  </si>
  <si>
    <t xml:space="preserve">Glimpse gating: re-entry allowed</t>
  </si>
  <si>
    <t xml:space="preserve">blocks a second, different chapter in the same module</t>
  </si>
  <si>
    <t xml:space="preserve">Glimpse gating: core block rule</t>
  </si>
  <si>
    <t xml:space="preserve">does not block a different module</t>
  </si>
  <si>
    <t xml:space="preserve">Glimpse gating: per-module isolation</t>
  </si>
  <si>
    <t xml:space="preserve">only ever records the first chapter picked per module</t>
  </si>
  <si>
    <t xml:space="preserve">Glimpse gating: slot immutability</t>
  </si>
  <si>
    <t xml:space="preserve">completedForModule</t>
  </si>
  <si>
    <t xml:space="preserve">returns an empty object for null progress</t>
  </si>
  <si>
    <t xml:space="preserve">Progress read: null safety</t>
  </si>
  <si>
    <t xml:space="preserve">strips the module prefix and only returns that module's keys</t>
  </si>
  <si>
    <t xml:space="preserve">Progress read: namespacing</t>
  </si>
  <si>
    <t xml:space="preserve">46/46 automated tests passing as of this build (npm test → vitest run). Covers pure logic: writing answer scoring, progress-map math, content data integrity, and anonymous-glimpse gating. Azure speech scoring, Supabase network calls, and all rendering/animation are NOT covered by automated tests — those are the manual test cases on the first tab.</t>
  </si>
  <si>
    <t xml:space="preserve">FrenchFry — Test Summary</t>
  </si>
  <si>
    <t xml:space="preserve">Manual test cases</t>
  </si>
  <si>
    <t xml:space="preserve">Fail</t>
  </si>
  <si>
    <t xml:space="preserve">Blocked</t>
  </si>
  <si>
    <t xml:space="preserve">Automated tests</t>
  </si>
  <si>
    <t xml:space="preserve">Automated: Pass</t>
  </si>
  <si>
    <t xml:space="preserve">Automated: Fail</t>
  </si>
  <si>
    <t xml:space="preserve">Fill in Status on the Manual Test Cases tab as you run each item (dropdown: Not run / Pass / Fail / Blocked). These counts update automatically.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</si>
</sst>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BF6EE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B6157"/>
      <name val="Arial"/>
      <family val="0"/>
      <charset val="1"/>
    </font>
    <font>
      <b val="true"/>
      <sz val="14"/>
      <color rgb="FF2B242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B2420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0BC"/>
      </left>
      <right style="thin">
        <color rgb="FFD9D0BC"/>
      </right>
      <top style="thin">
        <color rgb="FFD9D0BC"/>
      </top>
      <bottom style="thin">
        <color rgb="FFD9D0B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BF6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0B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157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24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46"/>
    <col collapsed="false" customWidth="true" hidden="false" outlineLevel="0" max="6" min="6" style="0" width="40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2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35.05" hidden="false" customHeight="false" outlineLevel="0" collapsed="false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4" t="s">
        <v>15</v>
      </c>
      <c r="H2" s="4" t="s">
        <v>16</v>
      </c>
      <c r="I2" s="5"/>
    </row>
    <row r="3" customFormat="false" ht="35.05" hidden="false" customHeight="false" outlineLevel="0" collapsed="false">
      <c r="A3" s="2" t="s">
        <v>17</v>
      </c>
      <c r="B3" s="3" t="s">
        <v>10</v>
      </c>
      <c r="C3" s="3" t="s">
        <v>18</v>
      </c>
      <c r="D3" s="3" t="s">
        <v>19</v>
      </c>
      <c r="E3" s="3" t="s">
        <v>20</v>
      </c>
      <c r="F3" s="3" t="s">
        <v>21</v>
      </c>
      <c r="G3" s="4" t="s">
        <v>22</v>
      </c>
      <c r="H3" s="4" t="s">
        <v>16</v>
      </c>
      <c r="I3" s="5"/>
    </row>
    <row r="4" customFormat="false" ht="23.85" hidden="false" customHeight="false" outlineLevel="0" collapsed="false">
      <c r="A4" s="2" t="s">
        <v>23</v>
      </c>
      <c r="B4" s="3" t="s">
        <v>10</v>
      </c>
      <c r="C4" s="3" t="s">
        <v>24</v>
      </c>
      <c r="D4" s="3" t="s">
        <v>25</v>
      </c>
      <c r="E4" s="3" t="s">
        <v>26</v>
      </c>
      <c r="F4" s="3" t="s">
        <v>27</v>
      </c>
      <c r="G4" s="4" t="s">
        <v>15</v>
      </c>
      <c r="H4" s="4" t="s">
        <v>16</v>
      </c>
      <c r="I4" s="5"/>
    </row>
    <row r="5" customFormat="false" ht="23.85" hidden="false" customHeight="false" outlineLevel="0" collapsed="false">
      <c r="A5" s="2" t="s">
        <v>28</v>
      </c>
      <c r="B5" s="3" t="s">
        <v>10</v>
      </c>
      <c r="C5" s="3" t="s">
        <v>29</v>
      </c>
      <c r="D5" s="3" t="s">
        <v>30</v>
      </c>
      <c r="E5" s="3" t="s">
        <v>31</v>
      </c>
      <c r="F5" s="3" t="s">
        <v>32</v>
      </c>
      <c r="G5" s="4" t="s">
        <v>33</v>
      </c>
      <c r="H5" s="4" t="s">
        <v>16</v>
      </c>
      <c r="I5" s="5"/>
    </row>
    <row r="6" customFormat="false" ht="46.25" hidden="false" customHeight="false" outlineLevel="0" collapsed="false">
      <c r="A6" s="2" t="s">
        <v>34</v>
      </c>
      <c r="B6" s="3" t="s">
        <v>10</v>
      </c>
      <c r="C6" s="3" t="s">
        <v>35</v>
      </c>
      <c r="D6" s="3" t="s">
        <v>36</v>
      </c>
      <c r="E6" s="3" t="s">
        <v>37</v>
      </c>
      <c r="F6" s="3" t="s">
        <v>38</v>
      </c>
      <c r="G6" s="4" t="s">
        <v>15</v>
      </c>
      <c r="H6" s="4" t="s">
        <v>16</v>
      </c>
      <c r="I6" s="5"/>
    </row>
    <row r="7" customFormat="false" ht="23.85" hidden="false" customHeight="false" outlineLevel="0" collapsed="false">
      <c r="A7" s="2" t="s">
        <v>39</v>
      </c>
      <c r="B7" s="3" t="s">
        <v>40</v>
      </c>
      <c r="C7" s="3" t="s">
        <v>41</v>
      </c>
      <c r="D7" s="3" t="s">
        <v>42</v>
      </c>
      <c r="E7" s="3" t="s">
        <v>43</v>
      </c>
      <c r="F7" s="3" t="s">
        <v>44</v>
      </c>
      <c r="G7" s="4" t="s">
        <v>15</v>
      </c>
      <c r="H7" s="4" t="s">
        <v>16</v>
      </c>
      <c r="I7" s="5"/>
    </row>
    <row r="8" customFormat="false" ht="35.05" hidden="false" customHeight="false" outlineLevel="0" collapsed="false">
      <c r="A8" s="2" t="s">
        <v>45</v>
      </c>
      <c r="B8" s="3" t="s">
        <v>40</v>
      </c>
      <c r="C8" s="3" t="s">
        <v>46</v>
      </c>
      <c r="D8" s="3" t="s">
        <v>47</v>
      </c>
      <c r="E8" s="3" t="s">
        <v>48</v>
      </c>
      <c r="F8" s="3" t="s">
        <v>49</v>
      </c>
      <c r="G8" s="4" t="s">
        <v>15</v>
      </c>
      <c r="H8" s="4" t="s">
        <v>16</v>
      </c>
      <c r="I8" s="5"/>
    </row>
    <row r="9" customFormat="false" ht="23.85" hidden="false" customHeight="false" outlineLevel="0" collapsed="false">
      <c r="A9" s="2" t="s">
        <v>50</v>
      </c>
      <c r="B9" s="3" t="s">
        <v>40</v>
      </c>
      <c r="C9" s="3" t="s">
        <v>51</v>
      </c>
      <c r="D9" s="3" t="s">
        <v>52</v>
      </c>
      <c r="E9" s="3" t="s">
        <v>53</v>
      </c>
      <c r="F9" s="3" t="s">
        <v>54</v>
      </c>
      <c r="G9" s="4" t="s">
        <v>22</v>
      </c>
      <c r="H9" s="4" t="s">
        <v>16</v>
      </c>
      <c r="I9" s="5"/>
    </row>
    <row r="10" customFormat="false" ht="23.85" hidden="false" customHeight="false" outlineLevel="0" collapsed="false">
      <c r="A10" s="2" t="s">
        <v>55</v>
      </c>
      <c r="B10" s="3" t="s">
        <v>40</v>
      </c>
      <c r="C10" s="3" t="s">
        <v>56</v>
      </c>
      <c r="D10" s="3" t="s">
        <v>57</v>
      </c>
      <c r="E10" s="3" t="s">
        <v>58</v>
      </c>
      <c r="F10" s="3" t="s">
        <v>59</v>
      </c>
      <c r="G10" s="4" t="s">
        <v>22</v>
      </c>
      <c r="H10" s="4" t="s">
        <v>16</v>
      </c>
      <c r="I10" s="5"/>
    </row>
    <row r="11" customFormat="false" ht="23.85" hidden="false" customHeight="false" outlineLevel="0" collapsed="false">
      <c r="A11" s="2" t="s">
        <v>60</v>
      </c>
      <c r="B11" s="3" t="s">
        <v>40</v>
      </c>
      <c r="C11" s="3" t="s">
        <v>61</v>
      </c>
      <c r="D11" s="3" t="s">
        <v>25</v>
      </c>
      <c r="E11" s="3" t="s">
        <v>62</v>
      </c>
      <c r="F11" s="3" t="s">
        <v>63</v>
      </c>
      <c r="G11" s="4" t="s">
        <v>15</v>
      </c>
      <c r="H11" s="4" t="s">
        <v>16</v>
      </c>
      <c r="I11" s="5"/>
    </row>
    <row r="12" customFormat="false" ht="23.85" hidden="false" customHeight="false" outlineLevel="0" collapsed="false">
      <c r="A12" s="2" t="s">
        <v>64</v>
      </c>
      <c r="B12" s="3" t="s">
        <v>65</v>
      </c>
      <c r="C12" s="3" t="s">
        <v>66</v>
      </c>
      <c r="D12" s="3" t="s">
        <v>67</v>
      </c>
      <c r="E12" s="3" t="s">
        <v>68</v>
      </c>
      <c r="F12" s="3" t="s">
        <v>69</v>
      </c>
      <c r="G12" s="4" t="s">
        <v>15</v>
      </c>
      <c r="H12" s="4" t="s">
        <v>16</v>
      </c>
      <c r="I12" s="5"/>
    </row>
    <row r="13" customFormat="false" ht="23.85" hidden="false" customHeight="false" outlineLevel="0" collapsed="false">
      <c r="A13" s="2" t="s">
        <v>70</v>
      </c>
      <c r="B13" s="3" t="s">
        <v>65</v>
      </c>
      <c r="C13" s="3" t="s">
        <v>71</v>
      </c>
      <c r="D13" s="3" t="s">
        <v>72</v>
      </c>
      <c r="E13" s="3" t="s">
        <v>73</v>
      </c>
      <c r="F13" s="3" t="s">
        <v>74</v>
      </c>
      <c r="G13" s="4" t="s">
        <v>33</v>
      </c>
      <c r="H13" s="4" t="s">
        <v>16</v>
      </c>
      <c r="I13" s="5"/>
    </row>
    <row r="14" customFormat="false" ht="46.25" hidden="false" customHeight="false" outlineLevel="0" collapsed="false">
      <c r="A14" s="2" t="s">
        <v>75</v>
      </c>
      <c r="B14" s="3" t="s">
        <v>65</v>
      </c>
      <c r="C14" s="3" t="s">
        <v>76</v>
      </c>
      <c r="D14" s="3" t="s">
        <v>77</v>
      </c>
      <c r="E14" s="3" t="s">
        <v>78</v>
      </c>
      <c r="F14" s="3" t="s">
        <v>79</v>
      </c>
      <c r="G14" s="4" t="s">
        <v>15</v>
      </c>
      <c r="H14" s="4" t="s">
        <v>16</v>
      </c>
      <c r="I14" s="5"/>
    </row>
    <row r="15" customFormat="false" ht="46.25" hidden="false" customHeight="false" outlineLevel="0" collapsed="false">
      <c r="A15" s="2" t="s">
        <v>80</v>
      </c>
      <c r="B15" s="3" t="s">
        <v>65</v>
      </c>
      <c r="C15" s="3" t="s">
        <v>81</v>
      </c>
      <c r="D15" s="3" t="s">
        <v>82</v>
      </c>
      <c r="E15" s="3" t="s">
        <v>83</v>
      </c>
      <c r="F15" s="3" t="s">
        <v>84</v>
      </c>
      <c r="G15" s="4" t="s">
        <v>22</v>
      </c>
      <c r="H15" s="4" t="s">
        <v>16</v>
      </c>
      <c r="I15" s="5"/>
    </row>
    <row r="16" customFormat="false" ht="46.25" hidden="false" customHeight="false" outlineLevel="0" collapsed="false">
      <c r="A16" s="2" t="s">
        <v>85</v>
      </c>
      <c r="B16" s="3" t="s">
        <v>86</v>
      </c>
      <c r="C16" s="3" t="s">
        <v>87</v>
      </c>
      <c r="D16" s="3" t="s">
        <v>88</v>
      </c>
      <c r="E16" s="3" t="s">
        <v>89</v>
      </c>
      <c r="F16" s="3" t="s">
        <v>90</v>
      </c>
      <c r="G16" s="4" t="s">
        <v>15</v>
      </c>
      <c r="H16" s="4" t="s">
        <v>16</v>
      </c>
      <c r="I16" s="5"/>
    </row>
    <row r="17" customFormat="false" ht="35.05" hidden="false" customHeight="false" outlineLevel="0" collapsed="false">
      <c r="A17" s="2" t="s">
        <v>91</v>
      </c>
      <c r="B17" s="3" t="s">
        <v>86</v>
      </c>
      <c r="C17" s="3" t="s">
        <v>92</v>
      </c>
      <c r="D17" s="3" t="s">
        <v>93</v>
      </c>
      <c r="E17" s="3" t="s">
        <v>94</v>
      </c>
      <c r="F17" s="3" t="s">
        <v>95</v>
      </c>
      <c r="G17" s="4" t="s">
        <v>15</v>
      </c>
      <c r="H17" s="4" t="s">
        <v>16</v>
      </c>
      <c r="I17" s="5"/>
    </row>
    <row r="18" customFormat="false" ht="35.05" hidden="false" customHeight="false" outlineLevel="0" collapsed="false">
      <c r="A18" s="2" t="s">
        <v>96</v>
      </c>
      <c r="B18" s="3" t="s">
        <v>86</v>
      </c>
      <c r="C18" s="3" t="s">
        <v>97</v>
      </c>
      <c r="D18" s="3" t="s">
        <v>98</v>
      </c>
      <c r="E18" s="3" t="s">
        <v>99</v>
      </c>
      <c r="F18" s="3" t="s">
        <v>100</v>
      </c>
      <c r="G18" s="4" t="s">
        <v>22</v>
      </c>
      <c r="H18" s="4" t="s">
        <v>16</v>
      </c>
      <c r="I18" s="5"/>
    </row>
    <row r="19" customFormat="false" ht="23.85" hidden="false" customHeight="false" outlineLevel="0" collapsed="false">
      <c r="A19" s="2" t="s">
        <v>101</v>
      </c>
      <c r="B19" s="3" t="s">
        <v>86</v>
      </c>
      <c r="C19" s="3" t="s">
        <v>102</v>
      </c>
      <c r="D19" s="3" t="s">
        <v>98</v>
      </c>
      <c r="E19" s="3" t="s">
        <v>103</v>
      </c>
      <c r="F19" s="3" t="s">
        <v>104</v>
      </c>
      <c r="G19" s="4" t="s">
        <v>22</v>
      </c>
      <c r="H19" s="4" t="s">
        <v>16</v>
      </c>
      <c r="I19" s="5"/>
    </row>
    <row r="20" customFormat="false" ht="35.05" hidden="false" customHeight="false" outlineLevel="0" collapsed="false">
      <c r="A20" s="2" t="s">
        <v>105</v>
      </c>
      <c r="B20" s="3" t="s">
        <v>86</v>
      </c>
      <c r="C20" s="3" t="s">
        <v>106</v>
      </c>
      <c r="D20" s="3" t="s">
        <v>98</v>
      </c>
      <c r="E20" s="3" t="s">
        <v>107</v>
      </c>
      <c r="F20" s="3" t="s">
        <v>108</v>
      </c>
      <c r="G20" s="4" t="s">
        <v>22</v>
      </c>
      <c r="H20" s="4" t="s">
        <v>16</v>
      </c>
      <c r="I20" s="5"/>
    </row>
    <row r="21" customFormat="false" ht="46.25" hidden="false" customHeight="false" outlineLevel="0" collapsed="false">
      <c r="A21" s="2" t="s">
        <v>109</v>
      </c>
      <c r="B21" s="3" t="s">
        <v>110</v>
      </c>
      <c r="C21" s="3" t="s">
        <v>111</v>
      </c>
      <c r="D21" s="3" t="s">
        <v>112</v>
      </c>
      <c r="E21" s="3" t="s">
        <v>113</v>
      </c>
      <c r="F21" s="3" t="s">
        <v>114</v>
      </c>
      <c r="G21" s="4" t="s">
        <v>15</v>
      </c>
      <c r="H21" s="4" t="s">
        <v>16</v>
      </c>
      <c r="I21" s="5"/>
    </row>
    <row r="22" customFormat="false" ht="23.85" hidden="false" customHeight="false" outlineLevel="0" collapsed="false">
      <c r="A22" s="2" t="s">
        <v>115</v>
      </c>
      <c r="B22" s="3" t="s">
        <v>110</v>
      </c>
      <c r="C22" s="3" t="s">
        <v>116</v>
      </c>
      <c r="D22" s="3" t="s">
        <v>117</v>
      </c>
      <c r="E22" s="3" t="s">
        <v>118</v>
      </c>
      <c r="F22" s="3" t="s">
        <v>119</v>
      </c>
      <c r="G22" s="4" t="s">
        <v>22</v>
      </c>
      <c r="H22" s="4" t="s">
        <v>16</v>
      </c>
      <c r="I22" s="5"/>
    </row>
    <row r="23" customFormat="false" ht="23.85" hidden="false" customHeight="false" outlineLevel="0" collapsed="false">
      <c r="A23" s="2" t="s">
        <v>120</v>
      </c>
      <c r="B23" s="3" t="s">
        <v>110</v>
      </c>
      <c r="C23" s="3" t="s">
        <v>121</v>
      </c>
      <c r="D23" s="3" t="s">
        <v>122</v>
      </c>
      <c r="E23" s="3" t="s">
        <v>123</v>
      </c>
      <c r="F23" s="3" t="s">
        <v>124</v>
      </c>
      <c r="G23" s="4" t="s">
        <v>22</v>
      </c>
      <c r="H23" s="4" t="s">
        <v>16</v>
      </c>
      <c r="I23" s="5"/>
    </row>
    <row r="24" customFormat="false" ht="23.85" hidden="false" customHeight="false" outlineLevel="0" collapsed="false">
      <c r="A24" s="2" t="s">
        <v>125</v>
      </c>
      <c r="B24" s="3" t="s">
        <v>126</v>
      </c>
      <c r="C24" s="3" t="s">
        <v>127</v>
      </c>
      <c r="D24" s="3" t="s">
        <v>128</v>
      </c>
      <c r="E24" s="3" t="s">
        <v>129</v>
      </c>
      <c r="F24" s="3" t="s">
        <v>130</v>
      </c>
      <c r="G24" s="4" t="s">
        <v>22</v>
      </c>
      <c r="H24" s="4" t="s">
        <v>16</v>
      </c>
      <c r="I24" s="5"/>
    </row>
    <row r="25" customFormat="false" ht="35.05" hidden="false" customHeight="false" outlineLevel="0" collapsed="false">
      <c r="A25" s="2" t="s">
        <v>131</v>
      </c>
      <c r="B25" s="3" t="s">
        <v>126</v>
      </c>
      <c r="C25" s="3" t="s">
        <v>132</v>
      </c>
      <c r="D25" s="3" t="s">
        <v>98</v>
      </c>
      <c r="E25" s="3" t="s">
        <v>133</v>
      </c>
      <c r="F25" s="3" t="s">
        <v>134</v>
      </c>
      <c r="G25" s="4" t="s">
        <v>15</v>
      </c>
      <c r="H25" s="4" t="s">
        <v>16</v>
      </c>
      <c r="I25" s="5"/>
    </row>
    <row r="26" customFormat="false" ht="35.05" hidden="false" customHeight="false" outlineLevel="0" collapsed="false">
      <c r="A26" s="2" t="s">
        <v>135</v>
      </c>
      <c r="B26" s="3" t="s">
        <v>126</v>
      </c>
      <c r="C26" s="3" t="s">
        <v>136</v>
      </c>
      <c r="D26" s="3" t="s">
        <v>137</v>
      </c>
      <c r="E26" s="3" t="s">
        <v>138</v>
      </c>
      <c r="F26" s="3" t="s">
        <v>139</v>
      </c>
      <c r="G26" s="4" t="s">
        <v>22</v>
      </c>
      <c r="H26" s="4" t="s">
        <v>16</v>
      </c>
      <c r="I26" s="5"/>
    </row>
    <row r="27" customFormat="false" ht="35.05" hidden="false" customHeight="false" outlineLevel="0" collapsed="false">
      <c r="A27" s="2" t="s">
        <v>140</v>
      </c>
      <c r="B27" s="3" t="s">
        <v>141</v>
      </c>
      <c r="C27" s="3" t="s">
        <v>142</v>
      </c>
      <c r="D27" s="3" t="s">
        <v>98</v>
      </c>
      <c r="E27" s="3" t="s">
        <v>143</v>
      </c>
      <c r="F27" s="3" t="s">
        <v>144</v>
      </c>
      <c r="G27" s="4" t="s">
        <v>15</v>
      </c>
      <c r="H27" s="4" t="s">
        <v>16</v>
      </c>
      <c r="I27" s="5"/>
    </row>
    <row r="28" customFormat="false" ht="35.05" hidden="false" customHeight="false" outlineLevel="0" collapsed="false">
      <c r="A28" s="2" t="s">
        <v>145</v>
      </c>
      <c r="B28" s="3" t="s">
        <v>141</v>
      </c>
      <c r="C28" s="3" t="s">
        <v>146</v>
      </c>
      <c r="D28" s="3" t="s">
        <v>98</v>
      </c>
      <c r="E28" s="3" t="s">
        <v>147</v>
      </c>
      <c r="F28" s="3" t="s">
        <v>148</v>
      </c>
      <c r="G28" s="4" t="s">
        <v>22</v>
      </c>
      <c r="H28" s="4" t="s">
        <v>16</v>
      </c>
      <c r="I28" s="5"/>
    </row>
    <row r="29" customFormat="false" ht="23.85" hidden="false" customHeight="false" outlineLevel="0" collapsed="false">
      <c r="A29" s="2" t="s">
        <v>149</v>
      </c>
      <c r="B29" s="3" t="s">
        <v>141</v>
      </c>
      <c r="C29" s="3" t="s">
        <v>150</v>
      </c>
      <c r="D29" s="3" t="s">
        <v>98</v>
      </c>
      <c r="E29" s="3" t="s">
        <v>151</v>
      </c>
      <c r="F29" s="3" t="s">
        <v>152</v>
      </c>
      <c r="G29" s="4" t="s">
        <v>22</v>
      </c>
      <c r="H29" s="4" t="s">
        <v>16</v>
      </c>
      <c r="I29" s="5"/>
    </row>
    <row r="30" customFormat="false" ht="23.85" hidden="false" customHeight="false" outlineLevel="0" collapsed="false">
      <c r="A30" s="2" t="s">
        <v>153</v>
      </c>
      <c r="B30" s="3" t="s">
        <v>141</v>
      </c>
      <c r="C30" s="3" t="s">
        <v>154</v>
      </c>
      <c r="D30" s="3" t="s">
        <v>98</v>
      </c>
      <c r="E30" s="3" t="s">
        <v>155</v>
      </c>
      <c r="F30" s="3" t="s">
        <v>156</v>
      </c>
      <c r="G30" s="4" t="s">
        <v>33</v>
      </c>
      <c r="H30" s="4" t="s">
        <v>16</v>
      </c>
      <c r="I30" s="5"/>
    </row>
    <row r="31" customFormat="false" ht="35.05" hidden="false" customHeight="false" outlineLevel="0" collapsed="false">
      <c r="A31" s="2" t="s">
        <v>157</v>
      </c>
      <c r="B31" s="3" t="s">
        <v>141</v>
      </c>
      <c r="C31" s="3" t="s">
        <v>158</v>
      </c>
      <c r="D31" s="3" t="s">
        <v>159</v>
      </c>
      <c r="E31" s="3" t="s">
        <v>160</v>
      </c>
      <c r="F31" s="3" t="s">
        <v>161</v>
      </c>
      <c r="G31" s="4" t="s">
        <v>22</v>
      </c>
      <c r="H31" s="4" t="s">
        <v>16</v>
      </c>
      <c r="I31" s="5"/>
    </row>
    <row r="32" customFormat="false" ht="35.05" hidden="false" customHeight="false" outlineLevel="0" collapsed="false">
      <c r="A32" s="2" t="s">
        <v>162</v>
      </c>
      <c r="B32" s="3" t="s">
        <v>163</v>
      </c>
      <c r="C32" s="3" t="s">
        <v>164</v>
      </c>
      <c r="D32" s="3" t="s">
        <v>165</v>
      </c>
      <c r="E32" s="3" t="s">
        <v>166</v>
      </c>
      <c r="F32" s="3" t="s">
        <v>167</v>
      </c>
      <c r="G32" s="4" t="s">
        <v>33</v>
      </c>
      <c r="H32" s="4" t="s">
        <v>16</v>
      </c>
      <c r="I32" s="5"/>
    </row>
    <row r="33" customFormat="false" ht="23.85" hidden="false" customHeight="false" outlineLevel="0" collapsed="false">
      <c r="A33" s="2" t="s">
        <v>168</v>
      </c>
      <c r="B33" s="3" t="s">
        <v>169</v>
      </c>
      <c r="C33" s="3" t="s">
        <v>170</v>
      </c>
      <c r="D33" s="3" t="s">
        <v>171</v>
      </c>
      <c r="E33" s="3" t="s">
        <v>172</v>
      </c>
      <c r="F33" s="3" t="s">
        <v>173</v>
      </c>
      <c r="G33" s="4" t="s">
        <v>15</v>
      </c>
      <c r="H33" s="4" t="s">
        <v>16</v>
      </c>
      <c r="I33" s="5"/>
    </row>
    <row r="34" customFormat="false" ht="46.25" hidden="false" customHeight="false" outlineLevel="0" collapsed="false">
      <c r="A34" s="2" t="s">
        <v>174</v>
      </c>
      <c r="B34" s="3" t="s">
        <v>169</v>
      </c>
      <c r="C34" s="3" t="s">
        <v>175</v>
      </c>
      <c r="D34" s="3" t="s">
        <v>176</v>
      </c>
      <c r="E34" s="3" t="s">
        <v>177</v>
      </c>
      <c r="F34" s="3" t="s">
        <v>178</v>
      </c>
      <c r="G34" s="4" t="s">
        <v>15</v>
      </c>
      <c r="H34" s="4" t="s">
        <v>16</v>
      </c>
      <c r="I34" s="5"/>
    </row>
    <row r="35" customFormat="false" ht="46.25" hidden="false" customHeight="false" outlineLevel="0" collapsed="false">
      <c r="A35" s="2" t="s">
        <v>179</v>
      </c>
      <c r="B35" s="3" t="s">
        <v>169</v>
      </c>
      <c r="C35" s="3" t="s">
        <v>180</v>
      </c>
      <c r="D35" s="3" t="s">
        <v>181</v>
      </c>
      <c r="E35" s="3" t="s">
        <v>177</v>
      </c>
      <c r="F35" s="3" t="s">
        <v>182</v>
      </c>
      <c r="G35" s="4" t="s">
        <v>22</v>
      </c>
      <c r="H35" s="4" t="s">
        <v>16</v>
      </c>
      <c r="I35" s="5"/>
    </row>
    <row r="36" customFormat="false" ht="46.25" hidden="false" customHeight="false" outlineLevel="0" collapsed="false">
      <c r="A36" s="2" t="s">
        <v>183</v>
      </c>
      <c r="B36" s="3" t="s">
        <v>169</v>
      </c>
      <c r="C36" s="3" t="s">
        <v>184</v>
      </c>
      <c r="D36" s="3" t="s">
        <v>185</v>
      </c>
      <c r="E36" s="3" t="s">
        <v>186</v>
      </c>
      <c r="F36" s="3" t="s">
        <v>187</v>
      </c>
      <c r="G36" s="4" t="s">
        <v>22</v>
      </c>
      <c r="H36" s="4" t="s">
        <v>16</v>
      </c>
      <c r="I36" s="5"/>
    </row>
    <row r="37" customFormat="false" ht="46.25" hidden="false" customHeight="false" outlineLevel="0" collapsed="false">
      <c r="A37" s="2" t="s">
        <v>188</v>
      </c>
      <c r="B37" s="3" t="s">
        <v>169</v>
      </c>
      <c r="C37" s="3" t="s">
        <v>189</v>
      </c>
      <c r="D37" s="3" t="s">
        <v>185</v>
      </c>
      <c r="E37" s="3" t="s">
        <v>190</v>
      </c>
      <c r="F37" s="3" t="s">
        <v>191</v>
      </c>
      <c r="G37" s="4" t="s">
        <v>22</v>
      </c>
      <c r="H37" s="4" t="s">
        <v>16</v>
      </c>
      <c r="I37" s="5"/>
    </row>
    <row r="38" customFormat="false" ht="46.25" hidden="false" customHeight="false" outlineLevel="0" collapsed="false">
      <c r="A38" s="2" t="s">
        <v>192</v>
      </c>
      <c r="B38" s="3" t="s">
        <v>193</v>
      </c>
      <c r="C38" s="3" t="s">
        <v>194</v>
      </c>
      <c r="D38" s="3" t="s">
        <v>195</v>
      </c>
      <c r="E38" s="3" t="s">
        <v>196</v>
      </c>
      <c r="F38" s="3" t="s">
        <v>197</v>
      </c>
      <c r="G38" s="4" t="s">
        <v>33</v>
      </c>
      <c r="H38" s="4" t="s">
        <v>16</v>
      </c>
      <c r="I38" s="5"/>
    </row>
    <row r="39" customFormat="false" ht="35.05" hidden="false" customHeight="false" outlineLevel="0" collapsed="false">
      <c r="A39" s="2" t="s">
        <v>198</v>
      </c>
      <c r="B39" s="3" t="s">
        <v>193</v>
      </c>
      <c r="C39" s="3" t="s">
        <v>199</v>
      </c>
      <c r="D39" s="3" t="s">
        <v>195</v>
      </c>
      <c r="E39" s="3" t="s">
        <v>200</v>
      </c>
      <c r="F39" s="3" t="s">
        <v>201</v>
      </c>
      <c r="G39" s="4" t="s">
        <v>33</v>
      </c>
      <c r="H39" s="4" t="s">
        <v>16</v>
      </c>
      <c r="I39" s="5"/>
    </row>
    <row r="40" customFormat="false" ht="23.85" hidden="false" customHeight="false" outlineLevel="0" collapsed="false">
      <c r="A40" s="2" t="s">
        <v>202</v>
      </c>
      <c r="B40" s="3" t="s">
        <v>203</v>
      </c>
      <c r="C40" s="3" t="s">
        <v>204</v>
      </c>
      <c r="D40" s="3" t="s">
        <v>205</v>
      </c>
      <c r="E40" s="3" t="s">
        <v>206</v>
      </c>
      <c r="F40" s="3" t="s">
        <v>207</v>
      </c>
      <c r="G40" s="4" t="s">
        <v>15</v>
      </c>
      <c r="H40" s="4" t="s">
        <v>16</v>
      </c>
      <c r="I40" s="5"/>
    </row>
    <row r="41" customFormat="false" ht="35.05" hidden="false" customHeight="false" outlineLevel="0" collapsed="false">
      <c r="A41" s="2" t="s">
        <v>208</v>
      </c>
      <c r="B41" s="3" t="s">
        <v>203</v>
      </c>
      <c r="C41" s="3" t="s">
        <v>209</v>
      </c>
      <c r="D41" s="3" t="s">
        <v>210</v>
      </c>
      <c r="E41" s="3" t="s">
        <v>211</v>
      </c>
      <c r="F41" s="3" t="s">
        <v>212</v>
      </c>
      <c r="G41" s="4" t="s">
        <v>22</v>
      </c>
      <c r="H41" s="4" t="s">
        <v>16</v>
      </c>
      <c r="I41" s="5"/>
    </row>
    <row r="42" customFormat="false" ht="35.05" hidden="false" customHeight="false" outlineLevel="0" collapsed="false">
      <c r="A42" s="2" t="s">
        <v>213</v>
      </c>
      <c r="B42" s="3" t="s">
        <v>203</v>
      </c>
      <c r="C42" s="3" t="s">
        <v>214</v>
      </c>
      <c r="D42" s="3" t="s">
        <v>215</v>
      </c>
      <c r="E42" s="3" t="s">
        <v>216</v>
      </c>
      <c r="F42" s="3" t="s">
        <v>217</v>
      </c>
      <c r="G42" s="4" t="s">
        <v>22</v>
      </c>
      <c r="H42" s="4" t="s">
        <v>16</v>
      </c>
      <c r="I42" s="5"/>
    </row>
  </sheetData>
  <dataValidations count="1">
    <dataValidation allowBlank="true" errorStyle="stop" operator="between" showDropDown="false" showErrorMessage="false" showInputMessage="false" sqref="H2:H42" type="list">
      <formula1>"Not run,Pass,Fail,Blocked"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46"/>
    <col collapsed="false" customWidth="true" hidden="false" outlineLevel="0" max="4" min="4" style="0" width="40"/>
    <col collapsed="false" customWidth="true" hidden="false" outlineLevel="0" max="5" min="5" style="0" width="16"/>
  </cols>
  <sheetData>
    <row r="1" customFormat="false" ht="30" hidden="false" customHeight="true" outlineLevel="0" collapsed="false">
      <c r="A1" s="1" t="s">
        <v>218</v>
      </c>
      <c r="B1" s="1" t="s">
        <v>219</v>
      </c>
      <c r="C1" s="1" t="s">
        <v>220</v>
      </c>
      <c r="D1" s="1" t="s">
        <v>221</v>
      </c>
      <c r="E1" s="1" t="s">
        <v>222</v>
      </c>
    </row>
    <row r="2" customFormat="false" ht="23.85" hidden="false" customHeight="false" outlineLevel="0" collapsed="false">
      <c r="A2" s="3" t="s">
        <v>223</v>
      </c>
      <c r="B2" s="3" t="s">
        <v>224</v>
      </c>
      <c r="C2" s="3" t="s">
        <v>225</v>
      </c>
      <c r="D2" s="3" t="s">
        <v>226</v>
      </c>
      <c r="E2" s="4" t="s">
        <v>227</v>
      </c>
    </row>
    <row r="3" customFormat="false" ht="15" hidden="false" customHeight="false" outlineLevel="0" collapsed="false">
      <c r="A3" s="3" t="s">
        <v>223</v>
      </c>
      <c r="B3" s="3" t="s">
        <v>224</v>
      </c>
      <c r="C3" s="3" t="s">
        <v>228</v>
      </c>
      <c r="D3" s="3" t="s">
        <v>229</v>
      </c>
      <c r="E3" s="4" t="s">
        <v>227</v>
      </c>
    </row>
    <row r="4" customFormat="false" ht="15" hidden="false" customHeight="false" outlineLevel="0" collapsed="false">
      <c r="A4" s="3" t="s">
        <v>223</v>
      </c>
      <c r="B4" s="3" t="s">
        <v>230</v>
      </c>
      <c r="C4" s="3" t="s">
        <v>231</v>
      </c>
      <c r="D4" s="3" t="s">
        <v>232</v>
      </c>
      <c r="E4" s="4" t="s">
        <v>227</v>
      </c>
    </row>
    <row r="5" customFormat="false" ht="15" hidden="false" customHeight="false" outlineLevel="0" collapsed="false">
      <c r="A5" s="3" t="s">
        <v>223</v>
      </c>
      <c r="B5" s="3" t="s">
        <v>230</v>
      </c>
      <c r="C5" s="3" t="s">
        <v>233</v>
      </c>
      <c r="D5" s="3" t="s">
        <v>232</v>
      </c>
      <c r="E5" s="4" t="s">
        <v>227</v>
      </c>
    </row>
    <row r="6" customFormat="false" ht="15" hidden="false" customHeight="false" outlineLevel="0" collapsed="false">
      <c r="A6" s="3" t="s">
        <v>223</v>
      </c>
      <c r="B6" s="3" t="s">
        <v>230</v>
      </c>
      <c r="C6" s="3" t="s">
        <v>234</v>
      </c>
      <c r="D6" s="3" t="s">
        <v>232</v>
      </c>
      <c r="E6" s="4" t="s">
        <v>227</v>
      </c>
    </row>
    <row r="7" customFormat="false" ht="15" hidden="false" customHeight="false" outlineLevel="0" collapsed="false">
      <c r="A7" s="3" t="s">
        <v>223</v>
      </c>
      <c r="B7" s="3" t="s">
        <v>235</v>
      </c>
      <c r="C7" s="3" t="s">
        <v>236</v>
      </c>
      <c r="D7" s="3" t="s">
        <v>237</v>
      </c>
      <c r="E7" s="4" t="s">
        <v>227</v>
      </c>
    </row>
    <row r="8" customFormat="false" ht="15" hidden="false" customHeight="false" outlineLevel="0" collapsed="false">
      <c r="A8" s="3" t="s">
        <v>223</v>
      </c>
      <c r="B8" s="3" t="s">
        <v>235</v>
      </c>
      <c r="C8" s="3" t="s">
        <v>238</v>
      </c>
      <c r="D8" s="3" t="s">
        <v>239</v>
      </c>
      <c r="E8" s="4" t="s">
        <v>227</v>
      </c>
    </row>
    <row r="9" customFormat="false" ht="15" hidden="false" customHeight="false" outlineLevel="0" collapsed="false">
      <c r="A9" s="3" t="s">
        <v>223</v>
      </c>
      <c r="B9" s="3" t="s">
        <v>235</v>
      </c>
      <c r="C9" s="3" t="s">
        <v>240</v>
      </c>
      <c r="D9" s="3" t="s">
        <v>241</v>
      </c>
      <c r="E9" s="4" t="s">
        <v>227</v>
      </c>
    </row>
    <row r="10" customFormat="false" ht="15" hidden="false" customHeight="false" outlineLevel="0" collapsed="false">
      <c r="A10" s="3" t="s">
        <v>223</v>
      </c>
      <c r="B10" s="3" t="s">
        <v>235</v>
      </c>
      <c r="C10" s="3" t="s">
        <v>242</v>
      </c>
      <c r="D10" s="3" t="s">
        <v>243</v>
      </c>
      <c r="E10" s="4" t="s">
        <v>227</v>
      </c>
    </row>
    <row r="11" customFormat="false" ht="15" hidden="false" customHeight="false" outlineLevel="0" collapsed="false">
      <c r="A11" s="3" t="s">
        <v>244</v>
      </c>
      <c r="B11" s="3" t="s">
        <v>245</v>
      </c>
      <c r="C11" s="3" t="s">
        <v>246</v>
      </c>
      <c r="D11" s="3" t="s">
        <v>247</v>
      </c>
      <c r="E11" s="4" t="s">
        <v>227</v>
      </c>
    </row>
    <row r="12" customFormat="false" ht="15" hidden="false" customHeight="false" outlineLevel="0" collapsed="false">
      <c r="A12" s="3" t="s">
        <v>244</v>
      </c>
      <c r="B12" s="3" t="s">
        <v>245</v>
      </c>
      <c r="C12" s="3" t="s">
        <v>248</v>
      </c>
      <c r="D12" s="3" t="s">
        <v>247</v>
      </c>
      <c r="E12" s="4" t="s">
        <v>227</v>
      </c>
    </row>
    <row r="13" customFormat="false" ht="15" hidden="false" customHeight="false" outlineLevel="0" collapsed="false">
      <c r="A13" s="3" t="s">
        <v>244</v>
      </c>
      <c r="B13" s="3" t="s">
        <v>245</v>
      </c>
      <c r="C13" s="3" t="s">
        <v>249</v>
      </c>
      <c r="D13" s="3" t="s">
        <v>247</v>
      </c>
      <c r="E13" s="4" t="s">
        <v>227</v>
      </c>
    </row>
    <row r="14" customFormat="false" ht="15" hidden="false" customHeight="false" outlineLevel="0" collapsed="false">
      <c r="A14" s="3" t="s">
        <v>244</v>
      </c>
      <c r="B14" s="3" t="s">
        <v>245</v>
      </c>
      <c r="C14" s="3" t="s">
        <v>250</v>
      </c>
      <c r="D14" s="3" t="s">
        <v>251</v>
      </c>
      <c r="E14" s="4" t="s">
        <v>227</v>
      </c>
    </row>
    <row r="15" customFormat="false" ht="15" hidden="false" customHeight="false" outlineLevel="0" collapsed="false">
      <c r="A15" s="3" t="s">
        <v>244</v>
      </c>
      <c r="B15" s="3" t="s">
        <v>252</v>
      </c>
      <c r="C15" s="3" t="s">
        <v>253</v>
      </c>
      <c r="D15" s="3" t="s">
        <v>254</v>
      </c>
      <c r="E15" s="4" t="s">
        <v>227</v>
      </c>
    </row>
    <row r="16" customFormat="false" ht="23.85" hidden="false" customHeight="false" outlineLevel="0" collapsed="false">
      <c r="A16" s="3" t="s">
        <v>244</v>
      </c>
      <c r="B16" s="3" t="s">
        <v>252</v>
      </c>
      <c r="C16" s="3" t="s">
        <v>255</v>
      </c>
      <c r="D16" s="3" t="s">
        <v>256</v>
      </c>
      <c r="E16" s="4" t="s">
        <v>227</v>
      </c>
    </row>
    <row r="17" customFormat="false" ht="15" hidden="false" customHeight="false" outlineLevel="0" collapsed="false">
      <c r="A17" s="3" t="s">
        <v>244</v>
      </c>
      <c r="B17" s="3" t="s">
        <v>252</v>
      </c>
      <c r="C17" s="3" t="s">
        <v>257</v>
      </c>
      <c r="D17" s="3" t="s">
        <v>258</v>
      </c>
      <c r="E17" s="4" t="s">
        <v>227</v>
      </c>
    </row>
    <row r="18" customFormat="false" ht="15" hidden="false" customHeight="false" outlineLevel="0" collapsed="false">
      <c r="A18" s="3" t="s">
        <v>244</v>
      </c>
      <c r="B18" s="3" t="s">
        <v>252</v>
      </c>
      <c r="C18" s="3" t="s">
        <v>259</v>
      </c>
      <c r="D18" s="3" t="s">
        <v>260</v>
      </c>
      <c r="E18" s="4" t="s">
        <v>227</v>
      </c>
    </row>
    <row r="19" customFormat="false" ht="15" hidden="false" customHeight="false" outlineLevel="0" collapsed="false">
      <c r="A19" s="3" t="s">
        <v>244</v>
      </c>
      <c r="B19" s="3" t="s">
        <v>261</v>
      </c>
      <c r="C19" s="3" t="s">
        <v>262</v>
      </c>
      <c r="D19" s="3" t="s">
        <v>263</v>
      </c>
      <c r="E19" s="4" t="s">
        <v>227</v>
      </c>
    </row>
    <row r="20" customFormat="false" ht="15" hidden="false" customHeight="false" outlineLevel="0" collapsed="false">
      <c r="A20" s="3" t="s">
        <v>244</v>
      </c>
      <c r="B20" s="3" t="s">
        <v>261</v>
      </c>
      <c r="C20" s="3" t="s">
        <v>264</v>
      </c>
      <c r="D20" s="3" t="s">
        <v>265</v>
      </c>
      <c r="E20" s="4" t="s">
        <v>227</v>
      </c>
    </row>
    <row r="21" customFormat="false" ht="23.85" hidden="false" customHeight="false" outlineLevel="0" collapsed="false">
      <c r="A21" s="3" t="s">
        <v>266</v>
      </c>
      <c r="B21" s="3" t="s">
        <v>267</v>
      </c>
      <c r="C21" s="3" t="s">
        <v>268</v>
      </c>
      <c r="D21" s="3" t="s">
        <v>269</v>
      </c>
      <c r="E21" s="4" t="s">
        <v>227</v>
      </c>
    </row>
    <row r="22" customFormat="false" ht="23.85" hidden="false" customHeight="false" outlineLevel="0" collapsed="false">
      <c r="A22" s="3" t="s">
        <v>266</v>
      </c>
      <c r="B22" s="3" t="s">
        <v>267</v>
      </c>
      <c r="C22" s="3" t="s">
        <v>270</v>
      </c>
      <c r="D22" s="3" t="s">
        <v>269</v>
      </c>
      <c r="E22" s="4" t="s">
        <v>227</v>
      </c>
    </row>
    <row r="23" customFormat="false" ht="23.85" hidden="false" customHeight="false" outlineLevel="0" collapsed="false">
      <c r="A23" s="3" t="s">
        <v>266</v>
      </c>
      <c r="B23" s="3" t="s">
        <v>267</v>
      </c>
      <c r="C23" s="3" t="s">
        <v>271</v>
      </c>
      <c r="D23" s="3" t="s">
        <v>272</v>
      </c>
      <c r="E23" s="4" t="s">
        <v>227</v>
      </c>
    </row>
    <row r="24" customFormat="false" ht="23.85" hidden="false" customHeight="false" outlineLevel="0" collapsed="false">
      <c r="A24" s="3" t="s">
        <v>266</v>
      </c>
      <c r="B24" s="3" t="s">
        <v>267</v>
      </c>
      <c r="C24" s="3" t="s">
        <v>273</v>
      </c>
      <c r="D24" s="3" t="s">
        <v>274</v>
      </c>
      <c r="E24" s="4" t="s">
        <v>227</v>
      </c>
    </row>
    <row r="25" customFormat="false" ht="15" hidden="false" customHeight="false" outlineLevel="0" collapsed="false">
      <c r="A25" s="3" t="s">
        <v>266</v>
      </c>
      <c r="B25" s="3" t="s">
        <v>275</v>
      </c>
      <c r="C25" s="3" t="s">
        <v>276</v>
      </c>
      <c r="D25" s="3" t="s">
        <v>277</v>
      </c>
      <c r="E25" s="4" t="s">
        <v>227</v>
      </c>
    </row>
    <row r="26" customFormat="false" ht="23.85" hidden="false" customHeight="false" outlineLevel="0" collapsed="false">
      <c r="A26" s="3" t="s">
        <v>266</v>
      </c>
      <c r="B26" s="3" t="s">
        <v>278</v>
      </c>
      <c r="C26" s="3" t="s">
        <v>279</v>
      </c>
      <c r="D26" s="3" t="s">
        <v>280</v>
      </c>
      <c r="E26" s="4" t="s">
        <v>227</v>
      </c>
    </row>
    <row r="27" customFormat="false" ht="15" hidden="false" customHeight="false" outlineLevel="0" collapsed="false">
      <c r="A27" s="3" t="s">
        <v>281</v>
      </c>
      <c r="B27" s="3" t="s">
        <v>282</v>
      </c>
      <c r="C27" s="3" t="s">
        <v>283</v>
      </c>
      <c r="D27" s="3" t="s">
        <v>284</v>
      </c>
      <c r="E27" s="4" t="s">
        <v>227</v>
      </c>
    </row>
    <row r="28" customFormat="false" ht="15" hidden="false" customHeight="false" outlineLevel="0" collapsed="false">
      <c r="A28" s="3" t="s">
        <v>281</v>
      </c>
      <c r="B28" s="3" t="s">
        <v>282</v>
      </c>
      <c r="C28" s="3" t="s">
        <v>285</v>
      </c>
      <c r="D28" s="3" t="s">
        <v>286</v>
      </c>
      <c r="E28" s="4" t="s">
        <v>227</v>
      </c>
    </row>
    <row r="29" customFormat="false" ht="15" hidden="false" customHeight="false" outlineLevel="0" collapsed="false">
      <c r="A29" s="3" t="s">
        <v>281</v>
      </c>
      <c r="B29" s="3" t="s">
        <v>282</v>
      </c>
      <c r="C29" s="3" t="s">
        <v>287</v>
      </c>
      <c r="D29" s="3" t="s">
        <v>288</v>
      </c>
      <c r="E29" s="4" t="s">
        <v>227</v>
      </c>
    </row>
    <row r="30" customFormat="false" ht="15" hidden="false" customHeight="false" outlineLevel="0" collapsed="false">
      <c r="A30" s="3" t="s">
        <v>281</v>
      </c>
      <c r="B30" s="3" t="s">
        <v>282</v>
      </c>
      <c r="C30" s="3" t="s">
        <v>289</v>
      </c>
      <c r="D30" s="3" t="s">
        <v>290</v>
      </c>
      <c r="E30" s="4" t="s">
        <v>227</v>
      </c>
    </row>
    <row r="31" customFormat="false" ht="15" hidden="false" customHeight="false" outlineLevel="0" collapsed="false">
      <c r="A31" s="3" t="s">
        <v>281</v>
      </c>
      <c r="B31" s="3" t="s">
        <v>282</v>
      </c>
      <c r="C31" s="3" t="s">
        <v>291</v>
      </c>
      <c r="D31" s="3" t="s">
        <v>292</v>
      </c>
      <c r="E31" s="4" t="s">
        <v>227</v>
      </c>
    </row>
    <row r="32" customFormat="false" ht="15" hidden="false" customHeight="false" outlineLevel="0" collapsed="false">
      <c r="A32" s="3" t="s">
        <v>281</v>
      </c>
      <c r="B32" s="3" t="s">
        <v>282</v>
      </c>
      <c r="C32" s="3" t="s">
        <v>293</v>
      </c>
      <c r="D32" s="3" t="s">
        <v>294</v>
      </c>
      <c r="E32" s="4" t="s">
        <v>227</v>
      </c>
    </row>
    <row r="33" customFormat="false" ht="15" hidden="false" customHeight="false" outlineLevel="0" collapsed="false">
      <c r="A33" s="3" t="s">
        <v>281</v>
      </c>
      <c r="B33" s="3" t="s">
        <v>295</v>
      </c>
      <c r="C33" s="3" t="s">
        <v>296</v>
      </c>
      <c r="D33" s="3" t="s">
        <v>297</v>
      </c>
      <c r="E33" s="4" t="s">
        <v>227</v>
      </c>
    </row>
    <row r="34" customFormat="false" ht="23.85" hidden="false" customHeight="false" outlineLevel="0" collapsed="false">
      <c r="A34" s="3" t="s">
        <v>281</v>
      </c>
      <c r="B34" s="3" t="s">
        <v>295</v>
      </c>
      <c r="C34" s="3" t="s">
        <v>298</v>
      </c>
      <c r="D34" s="3" t="s">
        <v>299</v>
      </c>
      <c r="E34" s="4" t="s">
        <v>227</v>
      </c>
    </row>
    <row r="36" customFormat="false" ht="45" hidden="false" customHeight="true" outlineLevel="0" collapsed="false">
      <c r="A36" s="6" t="s">
        <v>300</v>
      </c>
      <c r="B36" s="6"/>
      <c r="C36" s="6"/>
      <c r="D36" s="6"/>
      <c r="E36" s="6"/>
    </row>
  </sheetData>
  <mergeCells count="1">
    <mergeCell ref="A36:E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7" t="s">
        <v>301</v>
      </c>
      <c r="B1" s="7"/>
    </row>
    <row r="3" customFormat="false" ht="15" hidden="false" customHeight="false" outlineLevel="0" collapsed="false">
      <c r="A3" s="8" t="s">
        <v>302</v>
      </c>
      <c r="B3" s="5" t="n">
        <f aca="false">COUNTA('Manual Test Cases'!A2:A42)</f>
        <v>41</v>
      </c>
    </row>
    <row r="4" customFormat="false" ht="15" hidden="false" customHeight="false" outlineLevel="0" collapsed="false">
      <c r="A4" s="5" t="s">
        <v>227</v>
      </c>
      <c r="B4" s="5" t="n">
        <f aca="false">COUNTIF('Manual Test Cases'!H2:H42,"Pass")</f>
        <v>0</v>
      </c>
    </row>
    <row r="5" customFormat="false" ht="15" hidden="false" customHeight="false" outlineLevel="0" collapsed="false">
      <c r="A5" s="5" t="s">
        <v>303</v>
      </c>
      <c r="B5" s="5" t="n">
        <f aca="false">COUNTIF('Manual Test Cases'!H2:H42,"Fail")</f>
        <v>0</v>
      </c>
    </row>
    <row r="6" customFormat="false" ht="15" hidden="false" customHeight="false" outlineLevel="0" collapsed="false">
      <c r="A6" s="5" t="s">
        <v>304</v>
      </c>
      <c r="B6" s="5" t="n">
        <f aca="false">COUNTIF('Manual Test Cases'!H2:H42,"Blocked")</f>
        <v>0</v>
      </c>
    </row>
    <row r="7" customFormat="false" ht="15" hidden="false" customHeight="false" outlineLevel="0" collapsed="false">
      <c r="A7" s="5" t="s">
        <v>16</v>
      </c>
      <c r="B7" s="5" t="n">
        <f aca="false">COUNTIF('Manual Test Cases'!H2:H42,"Not run")</f>
        <v>41</v>
      </c>
    </row>
    <row r="8" customFormat="false" ht="15" hidden="false" customHeight="false" outlineLevel="0" collapsed="false">
      <c r="A8" s="9"/>
      <c r="B8" s="9"/>
    </row>
    <row r="9" customFormat="false" ht="15" hidden="false" customHeight="false" outlineLevel="0" collapsed="false">
      <c r="A9" s="8" t="s">
        <v>305</v>
      </c>
      <c r="B9" s="5" t="n">
        <f aca="false">COUNTA('Automated Coverage'!A2:A34)</f>
        <v>33</v>
      </c>
    </row>
    <row r="10" customFormat="false" ht="15" hidden="false" customHeight="false" outlineLevel="0" collapsed="false">
      <c r="A10" s="5" t="s">
        <v>306</v>
      </c>
      <c r="B10" s="5" t="n">
        <f aca="false">COUNTIF('Automated Coverage'!E2:E34,"Pass")</f>
        <v>33</v>
      </c>
    </row>
    <row r="11" customFormat="false" ht="15" hidden="false" customHeight="false" outlineLevel="0" collapsed="false">
      <c r="A11" s="5" t="s">
        <v>307</v>
      </c>
      <c r="B11" s="5" t="n">
        <f aca="false">COUNTIF('Automated Coverage'!E2:E34,"Fail")</f>
        <v>0</v>
      </c>
    </row>
    <row r="14" customFormat="false" ht="22.35" hidden="false" customHeight="true" outlineLevel="0" collapsed="false">
      <c r="A14" s="6" t="s">
        <v>308</v>
      </c>
      <c r="B14" s="6"/>
      <c r="C14" s="6"/>
      <c r="D14" s="6"/>
    </row>
  </sheetData>
  <mergeCells count="2">
    <mergeCell ref="A1:B1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2026-09-04T19:29:48Z</dcterms:created>
  <dc:creator>openpyxl</dc:creator>
  <dc:description/>
  <dc:language>en-US</dc:language>
  <cp:lastModifiedBy/>
  <dcterms:modified xsi:type="dcterms:W3CDTF">2026-09-04T19:29:48Z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